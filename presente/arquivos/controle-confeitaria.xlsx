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Vendas" sheetId="2" state="visible" r:id="rId2"/>
    <sheet xmlns:r="http://schemas.openxmlformats.org/officeDocument/2006/relationships" name="Produtos" sheetId="3" state="visible" r:id="rId3"/>
    <sheet xmlns:r="http://schemas.openxmlformats.org/officeDocument/2006/relationships" name="Estoque" sheetId="4" state="visible" r:id="rId4"/>
    <sheet xmlns:r="http://schemas.openxmlformats.org/officeDocument/2006/relationships" name="Clientes" sheetId="5" state="visible" r:id="rId5"/>
    <sheet xmlns:r="http://schemas.openxmlformats.org/officeDocument/2006/relationships" name="Caix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D6F42"/>
      <sz val="16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D6F42"/>
      </patternFill>
    </fill>
  </fills>
  <borders count="2">
    <border>
      <left/>
      <right/>
      <top/>
      <bottom/>
      <diagonal/>
    </border>
    <border>
      <bottom style="thin">
        <color rgb="00D9E2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3" fillId="0" borderId="1" pivotButton="0" quotePrefix="0" xfId="0"/>
    <xf numFmtId="1" fontId="3" fillId="0" borderId="1" pivotButton="0" quotePrefix="0" xfId="0"/>
    <xf numFmtId="0" fontId="1" fillId="2" borderId="0" applyAlignment="1" pivotButton="0" quotePrefix="0" xfId="0">
      <alignment vertical="center"/>
    </xf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4">
    <dxf>
      <font>
        <b val="1"/>
        <color rgb="00C0392B"/>
      </font>
      <fill>
        <patternFill patternType="solid">
          <fgColor rgb="00FADBD8"/>
        </patternFill>
      </fill>
    </dxf>
    <dxf>
      <font>
        <b val="1"/>
        <color rgb="00B9770E"/>
      </font>
      <fill>
        <patternFill patternType="solid">
          <fgColor rgb="00FDEBD0"/>
        </patternFill>
      </fill>
    </dxf>
    <dxf>
      <font>
        <color rgb="001E8449"/>
      </font>
      <fill>
        <patternFill patternType="solid">
          <fgColor rgb="00D5F5E3"/>
        </patternFill>
      </fill>
    </dxf>
    <dxf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'Produtos'!D1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'Produtos'!$A$2:$A$7</f>
            </numRef>
          </cat>
          <val>
            <numRef>
              <f>'Produtos'!$D$2:$D$7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7D63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Painel da confeitaria</t>
        </is>
      </c>
    </row>
    <row r="3">
      <c r="A3" s="2" t="inlineStr">
        <is>
          <t>Faturamento (todas as vendas)</t>
        </is>
      </c>
      <c r="B3" s="3">
        <f>SUM(Vendas!F:F)</f>
        <v/>
      </c>
    </row>
    <row r="4">
      <c r="A4" s="2" t="inlineStr">
        <is>
          <t>Número de vendas</t>
        </is>
      </c>
      <c r="B4" s="4">
        <f>COUNTA(Vendas!A2:A500)</f>
        <v/>
      </c>
    </row>
    <row r="5">
      <c r="A5" s="2" t="inlineStr">
        <is>
          <t>Ticket médio</t>
        </is>
      </c>
      <c r="B5" s="3">
        <f>B3/B4</f>
        <v/>
      </c>
    </row>
    <row r="6">
      <c r="A6" s="2" t="inlineStr">
        <is>
          <t>Lucro de outubro</t>
        </is>
      </c>
      <c r="B6" s="3">
        <f>Caixa!D5</f>
        <v/>
      </c>
    </row>
    <row r="7">
      <c r="A7" s="2" t="inlineStr">
        <is>
          <t>Itens para repor</t>
        </is>
      </c>
      <c r="B7" s="4">
        <f>COUNTIF(Estoque!E:E,"Repor")</f>
        <v/>
      </c>
    </row>
    <row r="8">
      <c r="A8" s="2" t="inlineStr">
        <is>
          <t>Clientes sumidos</t>
        </is>
      </c>
      <c r="B8" s="4">
        <f>COUNTIF(Clientes!E:E,"Sumido")</f>
        <v/>
      </c>
    </row>
  </sheetData>
  <conditionalFormatting sqref="B7:B8">
    <cfRule type="cellIs" priority="1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7D3C1"/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8" customWidth="1" min="4" max="4"/>
    <col width="12" customWidth="1" min="5" max="5"/>
    <col width="14" customWidth="1" min="6" max="6"/>
  </cols>
  <sheetData>
    <row r="1" ht="22" customHeight="1">
      <c r="A1" s="5" t="inlineStr">
        <is>
          <t>Data</t>
        </is>
      </c>
      <c r="B1" s="5" t="inlineStr">
        <is>
          <t>Cliente</t>
        </is>
      </c>
      <c r="C1" s="5" t="inlineStr">
        <is>
          <t>Produto</t>
        </is>
      </c>
      <c r="D1" s="5" t="inlineStr">
        <is>
          <t>Qtd</t>
        </is>
      </c>
      <c r="E1" s="5" t="inlineStr">
        <is>
          <t>Preço</t>
        </is>
      </c>
      <c r="F1" s="5" t="inlineStr">
        <is>
          <t>Total</t>
        </is>
      </c>
    </row>
    <row r="2">
      <c r="A2" s="6" t="n">
        <v>46254</v>
      </c>
      <c r="B2" t="inlineStr">
        <is>
          <t>Marcos Reis</t>
        </is>
      </c>
      <c r="C2" t="inlineStr">
        <is>
          <t>Bolo de pote</t>
        </is>
      </c>
      <c r="D2" t="n">
        <v>3</v>
      </c>
      <c r="E2" s="7">
        <f>VLOOKUP(C2,Produtos!A:B,2,FALSE)</f>
        <v/>
      </c>
      <c r="F2" s="7">
        <f>D2*E2</f>
        <v/>
      </c>
    </row>
    <row r="3">
      <c r="A3" s="6" t="n">
        <v>46255</v>
      </c>
      <c r="B3" t="inlineStr">
        <is>
          <t>Marcos Reis</t>
        </is>
      </c>
      <c r="C3" t="inlineStr">
        <is>
          <t>Torta de limão</t>
        </is>
      </c>
      <c r="D3" t="n">
        <v>2</v>
      </c>
      <c r="E3" s="7">
        <f>VLOOKUP(C3,Produtos!A:B,2,FALSE)</f>
        <v/>
      </c>
      <c r="F3" s="7">
        <f>D3*E3</f>
        <v/>
      </c>
    </row>
    <row r="4">
      <c r="A4" s="6" t="n">
        <v>46256</v>
      </c>
      <c r="B4" t="inlineStr">
        <is>
          <t>Marcos Reis</t>
        </is>
      </c>
      <c r="C4" t="inlineStr">
        <is>
          <t>Bolo de pote</t>
        </is>
      </c>
      <c r="D4" t="n">
        <v>3</v>
      </c>
      <c r="E4" s="7">
        <f>VLOOKUP(C4,Produtos!A:B,2,FALSE)</f>
        <v/>
      </c>
      <c r="F4" s="7">
        <f>D4*E4</f>
        <v/>
      </c>
    </row>
    <row r="5">
      <c r="A5" s="6" t="n">
        <v>46296</v>
      </c>
      <c r="B5" t="inlineStr">
        <is>
          <t>Carlos Lima</t>
        </is>
      </c>
      <c r="C5" t="inlineStr">
        <is>
          <t>Salgado (cento)</t>
        </is>
      </c>
      <c r="D5" t="n">
        <v>1</v>
      </c>
      <c r="E5" s="7">
        <f>VLOOKUP(C5,Produtos!A:B,2,FALSE)</f>
        <v/>
      </c>
      <c r="F5" s="7">
        <f>D5*E5</f>
        <v/>
      </c>
    </row>
    <row r="6">
      <c r="A6" s="6" t="n">
        <v>46296</v>
      </c>
      <c r="B6" t="inlineStr">
        <is>
          <t>João Pedro</t>
        </is>
      </c>
      <c r="C6" t="inlineStr">
        <is>
          <t>Bolo de pote</t>
        </is>
      </c>
      <c r="D6" t="n">
        <v>2</v>
      </c>
      <c r="E6" s="7">
        <f>VLOOKUP(C6,Produtos!A:B,2,FALSE)</f>
        <v/>
      </c>
      <c r="F6" s="7">
        <f>D6*E6</f>
        <v/>
      </c>
    </row>
    <row r="7">
      <c r="A7" s="6" t="n">
        <v>46297</v>
      </c>
      <c r="B7" t="inlineStr">
        <is>
          <t>Lucas Martins</t>
        </is>
      </c>
      <c r="C7" t="inlineStr">
        <is>
          <t>Bolo de pote</t>
        </is>
      </c>
      <c r="D7" t="n">
        <v>5</v>
      </c>
      <c r="E7" s="7">
        <f>VLOOKUP(C7,Produtos!A:B,2,FALSE)</f>
        <v/>
      </c>
      <c r="F7" s="7">
        <f>D7*E7</f>
        <v/>
      </c>
    </row>
    <row r="8">
      <c r="A8" s="6" t="n">
        <v>46297</v>
      </c>
      <c r="B8" t="inlineStr">
        <is>
          <t>Rita Alves</t>
        </is>
      </c>
      <c r="C8" t="inlineStr">
        <is>
          <t>Bolo de pote</t>
        </is>
      </c>
      <c r="D8" t="n">
        <v>10</v>
      </c>
      <c r="E8" s="7">
        <f>VLOOKUP(C8,Produtos!A:B,2,FALSE)</f>
        <v/>
      </c>
      <c r="F8" s="7">
        <f>D8*E8</f>
        <v/>
      </c>
    </row>
    <row r="9">
      <c r="A9" s="6" t="n">
        <v>46298</v>
      </c>
      <c r="B9" t="inlineStr">
        <is>
          <t>Rita Alves</t>
        </is>
      </c>
      <c r="C9" t="inlineStr">
        <is>
          <t>Torta de limão</t>
        </is>
      </c>
      <c r="D9" t="n">
        <v>3</v>
      </c>
      <c r="E9" s="7">
        <f>VLOOKUP(C9,Produtos!A:B,2,FALSE)</f>
        <v/>
      </c>
      <c r="F9" s="7">
        <f>D9*E9</f>
        <v/>
      </c>
    </row>
    <row r="10">
      <c r="A10" s="6" t="n">
        <v>46298</v>
      </c>
      <c r="B10" t="inlineStr">
        <is>
          <t>Carlos Lima</t>
        </is>
      </c>
      <c r="C10" t="inlineStr">
        <is>
          <t>Torta de limão</t>
        </is>
      </c>
      <c r="D10" t="n">
        <v>2</v>
      </c>
      <c r="E10" s="7">
        <f>VLOOKUP(C10,Produtos!A:B,2,FALSE)</f>
        <v/>
      </c>
      <c r="F10" s="7">
        <f>D10*E10</f>
        <v/>
      </c>
    </row>
    <row r="11">
      <c r="A11" s="6" t="n">
        <v>46299</v>
      </c>
      <c r="B11" t="inlineStr">
        <is>
          <t>Ana Souza</t>
        </is>
      </c>
      <c r="C11" t="inlineStr">
        <is>
          <t>Brigadeiro (cento)</t>
        </is>
      </c>
      <c r="D11" t="n">
        <v>2</v>
      </c>
      <c r="E11" s="7">
        <f>VLOOKUP(C11,Produtos!A:B,2,FALSE)</f>
        <v/>
      </c>
      <c r="F11" s="7">
        <f>D11*E11</f>
        <v/>
      </c>
    </row>
    <row r="12">
      <c r="A12" s="6" t="n">
        <v>46299</v>
      </c>
      <c r="B12" t="inlineStr">
        <is>
          <t>Lucas Martins</t>
        </is>
      </c>
      <c r="C12" t="inlineStr">
        <is>
          <t>Bolo de pote</t>
        </is>
      </c>
      <c r="D12" t="n">
        <v>7</v>
      </c>
      <c r="E12" s="7">
        <f>VLOOKUP(C12,Produtos!A:B,2,FALSE)</f>
        <v/>
      </c>
      <c r="F12" s="7">
        <f>D12*E12</f>
        <v/>
      </c>
    </row>
    <row r="13">
      <c r="A13" s="6" t="n">
        <v>46299</v>
      </c>
      <c r="B13" t="inlineStr">
        <is>
          <t>Lucas Martins</t>
        </is>
      </c>
      <c r="C13" t="inlineStr">
        <is>
          <t>Bolo de pote</t>
        </is>
      </c>
      <c r="D13" t="n">
        <v>7</v>
      </c>
      <c r="E13" s="7">
        <f>VLOOKUP(C13,Produtos!A:B,2,FALSE)</f>
        <v/>
      </c>
      <c r="F13" s="7">
        <f>D13*E13</f>
        <v/>
      </c>
    </row>
    <row r="14">
      <c r="A14" s="6" t="n">
        <v>46300</v>
      </c>
      <c r="B14" t="inlineStr">
        <is>
          <t>Lucas Martins</t>
        </is>
      </c>
      <c r="C14" t="inlineStr">
        <is>
          <t>Bolo de aniversário</t>
        </is>
      </c>
      <c r="D14" t="n">
        <v>1</v>
      </c>
      <c r="E14" s="7">
        <f>VLOOKUP(C14,Produtos!A:B,2,FALSE)</f>
        <v/>
      </c>
      <c r="F14" s="7">
        <f>D14*E14</f>
        <v/>
      </c>
    </row>
    <row r="15">
      <c r="A15" s="6" t="n">
        <v>46300</v>
      </c>
      <c r="B15" t="inlineStr">
        <is>
          <t>Carlos Lima</t>
        </is>
      </c>
      <c r="C15" t="inlineStr">
        <is>
          <t>Bolo de pote</t>
        </is>
      </c>
      <c r="D15" t="n">
        <v>2</v>
      </c>
      <c r="E15" s="7">
        <f>VLOOKUP(C15,Produtos!A:B,2,FALSE)</f>
        <v/>
      </c>
      <c r="F15" s="7">
        <f>D15*E15</f>
        <v/>
      </c>
    </row>
    <row r="16">
      <c r="A16" s="6" t="n">
        <v>46300</v>
      </c>
      <c r="B16" t="inlineStr">
        <is>
          <t>Ana Souza</t>
        </is>
      </c>
      <c r="C16" t="inlineStr">
        <is>
          <t>Salgado (cento)</t>
        </is>
      </c>
      <c r="D16" t="n">
        <v>2</v>
      </c>
      <c r="E16" s="7">
        <f>VLOOKUP(C16,Produtos!A:B,2,FALSE)</f>
        <v/>
      </c>
      <c r="F16" s="7">
        <f>D16*E16</f>
        <v/>
      </c>
    </row>
    <row r="17">
      <c r="A17" s="6" t="n">
        <v>46301</v>
      </c>
      <c r="B17" t="inlineStr">
        <is>
          <t>Carlos Lima</t>
        </is>
      </c>
      <c r="C17" t="inlineStr">
        <is>
          <t>Brownie</t>
        </is>
      </c>
      <c r="D17" t="n">
        <v>7</v>
      </c>
      <c r="E17" s="7">
        <f>VLOOKUP(C17,Produtos!A:B,2,FALSE)</f>
        <v/>
      </c>
      <c r="F17" s="7">
        <f>D17*E17</f>
        <v/>
      </c>
    </row>
    <row r="18">
      <c r="A18" s="6" t="n">
        <v>46301</v>
      </c>
      <c r="B18" t="inlineStr">
        <is>
          <t>Ana Souza</t>
        </is>
      </c>
      <c r="C18" t="inlineStr">
        <is>
          <t>Brigadeiro (cento)</t>
        </is>
      </c>
      <c r="D18" t="n">
        <v>1</v>
      </c>
      <c r="E18" s="7">
        <f>VLOOKUP(C18,Produtos!A:B,2,FALSE)</f>
        <v/>
      </c>
      <c r="F18" s="7">
        <f>D18*E18</f>
        <v/>
      </c>
    </row>
    <row r="19">
      <c r="A19" s="6" t="n">
        <v>46301</v>
      </c>
      <c r="B19" t="inlineStr">
        <is>
          <t>Beatriz Nunes</t>
        </is>
      </c>
      <c r="C19" t="inlineStr">
        <is>
          <t>Bolo de pote</t>
        </is>
      </c>
      <c r="D19" t="n">
        <v>8</v>
      </c>
      <c r="E19" s="7">
        <f>VLOOKUP(C19,Produtos!A:B,2,FALSE)</f>
        <v/>
      </c>
      <c r="F19" s="7">
        <f>D19*E19</f>
        <v/>
      </c>
    </row>
    <row r="20">
      <c r="A20" s="6" t="n">
        <v>46302</v>
      </c>
      <c r="B20" t="inlineStr">
        <is>
          <t>Rita Alves</t>
        </is>
      </c>
      <c r="C20" t="inlineStr">
        <is>
          <t>Torta de limão</t>
        </is>
      </c>
      <c r="D20" t="n">
        <v>1</v>
      </c>
      <c r="E20" s="7">
        <f>VLOOKUP(C20,Produtos!A:B,2,FALSE)</f>
        <v/>
      </c>
      <c r="F20" s="7">
        <f>D20*E20</f>
        <v/>
      </c>
    </row>
    <row r="21">
      <c r="A21" s="6" t="n">
        <v>46302</v>
      </c>
      <c r="B21" t="inlineStr">
        <is>
          <t>Rita Alves</t>
        </is>
      </c>
      <c r="C21" t="inlineStr">
        <is>
          <t>Torta de limão</t>
        </is>
      </c>
      <c r="D21" t="n">
        <v>2</v>
      </c>
      <c r="E21" s="7">
        <f>VLOOKUP(C21,Produtos!A:B,2,FALSE)</f>
        <v/>
      </c>
      <c r="F21" s="7">
        <f>D21*E21</f>
        <v/>
      </c>
    </row>
    <row r="22">
      <c r="A22" s="6" t="n">
        <v>46302</v>
      </c>
      <c r="B22" t="inlineStr">
        <is>
          <t>Fernanda Costa</t>
        </is>
      </c>
      <c r="C22" t="inlineStr">
        <is>
          <t>Brownie</t>
        </is>
      </c>
      <c r="D22" t="n">
        <v>2</v>
      </c>
      <c r="E22" s="7">
        <f>VLOOKUP(C22,Produtos!A:B,2,FALSE)</f>
        <v/>
      </c>
      <c r="F22" s="7">
        <f>D22*E22</f>
        <v/>
      </c>
    </row>
    <row r="23">
      <c r="A23" s="6" t="n">
        <v>46303</v>
      </c>
      <c r="B23" t="inlineStr">
        <is>
          <t>Rita Alves</t>
        </is>
      </c>
      <c r="C23" t="inlineStr">
        <is>
          <t>Bolo de pote</t>
        </is>
      </c>
      <c r="D23" t="n">
        <v>2</v>
      </c>
      <c r="E23" s="7">
        <f>VLOOKUP(C23,Produtos!A:B,2,FALSE)</f>
        <v/>
      </c>
      <c r="F23" s="7">
        <f>D23*E23</f>
        <v/>
      </c>
    </row>
    <row r="24">
      <c r="A24" s="6" t="n">
        <v>46303</v>
      </c>
      <c r="B24" t="inlineStr">
        <is>
          <t>Ana Souza</t>
        </is>
      </c>
      <c r="C24" t="inlineStr">
        <is>
          <t>Brigadeiro (cento)</t>
        </is>
      </c>
      <c r="D24" t="n">
        <v>2</v>
      </c>
      <c r="E24" s="7">
        <f>VLOOKUP(C24,Produtos!A:B,2,FALSE)</f>
        <v/>
      </c>
      <c r="F24" s="7">
        <f>D24*E24</f>
        <v/>
      </c>
    </row>
    <row r="25">
      <c r="A25" s="6" t="n">
        <v>46303</v>
      </c>
      <c r="B25" t="inlineStr">
        <is>
          <t>João Pedro</t>
        </is>
      </c>
      <c r="C25" t="inlineStr">
        <is>
          <t>Brigadeiro (cento)</t>
        </is>
      </c>
      <c r="D25" t="n">
        <v>2</v>
      </c>
      <c r="E25" s="7">
        <f>VLOOKUP(C25,Produtos!A:B,2,FALSE)</f>
        <v/>
      </c>
      <c r="F25" s="7">
        <f>D25*E25</f>
        <v/>
      </c>
    </row>
    <row r="26">
      <c r="A26" s="6" t="n">
        <v>46304</v>
      </c>
      <c r="B26" t="inlineStr">
        <is>
          <t>Lucas Martins</t>
        </is>
      </c>
      <c r="C26" t="inlineStr">
        <is>
          <t>Brownie</t>
        </is>
      </c>
      <c r="D26" t="n">
        <v>6</v>
      </c>
      <c r="E26" s="7">
        <f>VLOOKUP(C26,Produtos!A:B,2,FALSE)</f>
        <v/>
      </c>
      <c r="F26" s="7">
        <f>D26*E26</f>
        <v/>
      </c>
    </row>
    <row r="27">
      <c r="A27" s="6" t="n">
        <v>46304</v>
      </c>
      <c r="B27" t="inlineStr">
        <is>
          <t>Carlos Lima</t>
        </is>
      </c>
      <c r="C27" t="inlineStr">
        <is>
          <t>Torta de limão</t>
        </is>
      </c>
      <c r="D27" t="n">
        <v>2</v>
      </c>
      <c r="E27" s="7">
        <f>VLOOKUP(C27,Produtos!A:B,2,FALSE)</f>
        <v/>
      </c>
      <c r="F27" s="7">
        <f>D27*E27</f>
        <v/>
      </c>
    </row>
    <row r="28">
      <c r="A28" s="6" t="n">
        <v>46305</v>
      </c>
      <c r="B28" t="inlineStr">
        <is>
          <t>Lucas Martins</t>
        </is>
      </c>
      <c r="C28" t="inlineStr">
        <is>
          <t>Bolo de pote</t>
        </is>
      </c>
      <c r="D28" t="n">
        <v>4</v>
      </c>
      <c r="E28" s="7">
        <f>VLOOKUP(C28,Produtos!A:B,2,FALSE)</f>
        <v/>
      </c>
      <c r="F28" s="7">
        <f>D28*E28</f>
        <v/>
      </c>
    </row>
    <row r="29">
      <c r="A29" s="6" t="n">
        <v>46305</v>
      </c>
      <c r="B29" t="inlineStr">
        <is>
          <t>Lucas Martins</t>
        </is>
      </c>
      <c r="C29" t="inlineStr">
        <is>
          <t>Bolo de aniversário</t>
        </is>
      </c>
      <c r="D29" t="n">
        <v>3</v>
      </c>
      <c r="E29" s="7">
        <f>VLOOKUP(C29,Produtos!A:B,2,FALSE)</f>
        <v/>
      </c>
      <c r="F29" s="7">
        <f>D29*E29</f>
        <v/>
      </c>
    </row>
    <row r="30">
      <c r="A30" s="6" t="n">
        <v>46306</v>
      </c>
      <c r="B30" t="inlineStr">
        <is>
          <t>Rita Alves</t>
        </is>
      </c>
      <c r="C30" t="inlineStr">
        <is>
          <t>Bolo de pote</t>
        </is>
      </c>
      <c r="D30" t="n">
        <v>7</v>
      </c>
      <c r="E30" s="7">
        <f>VLOOKUP(C30,Produtos!A:B,2,FALSE)</f>
        <v/>
      </c>
      <c r="F30" s="7">
        <f>D30*E30</f>
        <v/>
      </c>
    </row>
    <row r="31">
      <c r="A31" s="6" t="n">
        <v>46306</v>
      </c>
      <c r="B31" t="inlineStr">
        <is>
          <t>Fernanda Costa</t>
        </is>
      </c>
      <c r="C31" t="inlineStr">
        <is>
          <t>Salgado (cento)</t>
        </is>
      </c>
      <c r="D31" t="n">
        <v>2</v>
      </c>
      <c r="E31" s="7">
        <f>VLOOKUP(C31,Produtos!A:B,2,FALSE)</f>
        <v/>
      </c>
      <c r="F31" s="7">
        <f>D31*E31</f>
        <v/>
      </c>
    </row>
    <row r="32">
      <c r="A32" s="6" t="n">
        <v>46307</v>
      </c>
      <c r="B32" t="inlineStr">
        <is>
          <t>Ana Souza</t>
        </is>
      </c>
      <c r="C32" t="inlineStr">
        <is>
          <t>Salgado (cento)</t>
        </is>
      </c>
      <c r="D32" t="n">
        <v>2</v>
      </c>
      <c r="E32" s="7">
        <f>VLOOKUP(C32,Produtos!A:B,2,FALSE)</f>
        <v/>
      </c>
      <c r="F32" s="7">
        <f>D32*E32</f>
        <v/>
      </c>
    </row>
    <row r="33">
      <c r="A33" s="6" t="n">
        <v>46307</v>
      </c>
      <c r="B33" t="inlineStr">
        <is>
          <t>Beatriz Nunes</t>
        </is>
      </c>
      <c r="C33" t="inlineStr">
        <is>
          <t>Bolo de pote</t>
        </is>
      </c>
      <c r="D33" t="n">
        <v>9</v>
      </c>
      <c r="E33" s="7">
        <f>VLOOKUP(C33,Produtos!A:B,2,FALSE)</f>
        <v/>
      </c>
      <c r="F33" s="7">
        <f>D33*E33</f>
        <v/>
      </c>
    </row>
    <row r="34">
      <c r="A34" s="6" t="n">
        <v>46308</v>
      </c>
      <c r="B34" t="inlineStr">
        <is>
          <t>Fernanda Costa</t>
        </is>
      </c>
      <c r="C34" t="inlineStr">
        <is>
          <t>Brigadeiro (cento)</t>
        </is>
      </c>
      <c r="D34" t="n">
        <v>1</v>
      </c>
      <c r="E34" s="7">
        <f>VLOOKUP(C34,Produtos!A:B,2,FALSE)</f>
        <v/>
      </c>
      <c r="F34" s="7">
        <f>D34*E34</f>
        <v/>
      </c>
    </row>
    <row r="35">
      <c r="A35" s="6" t="n">
        <v>46308</v>
      </c>
      <c r="B35" t="inlineStr">
        <is>
          <t>Rita Alves</t>
        </is>
      </c>
      <c r="C35" t="inlineStr">
        <is>
          <t>Bolo de pote</t>
        </is>
      </c>
      <c r="D35" t="n">
        <v>8</v>
      </c>
      <c r="E35" s="7">
        <f>VLOOKUP(C35,Produtos!A:B,2,FALSE)</f>
        <v/>
      </c>
      <c r="F35" s="7">
        <f>D35*E35</f>
        <v/>
      </c>
    </row>
    <row r="36">
      <c r="A36" s="6" t="n">
        <v>46309</v>
      </c>
      <c r="B36" t="inlineStr">
        <is>
          <t>Carlos Lima</t>
        </is>
      </c>
      <c r="C36" t="inlineStr">
        <is>
          <t>Bolo de pote</t>
        </is>
      </c>
      <c r="D36" t="n">
        <v>6</v>
      </c>
      <c r="E36" s="7">
        <f>VLOOKUP(C36,Produtos!A:B,2,FALSE)</f>
        <v/>
      </c>
      <c r="F36" s="7">
        <f>D36*E36</f>
        <v/>
      </c>
    </row>
    <row r="37">
      <c r="A37" s="6" t="n">
        <v>46309</v>
      </c>
      <c r="B37" t="inlineStr">
        <is>
          <t>Beatriz Nunes</t>
        </is>
      </c>
      <c r="C37" t="inlineStr">
        <is>
          <t>Bolo de aniversário</t>
        </is>
      </c>
      <c r="D37" t="n">
        <v>2</v>
      </c>
      <c r="E37" s="7">
        <f>VLOOKUP(C37,Produtos!A:B,2,FALSE)</f>
        <v/>
      </c>
      <c r="F37" s="7">
        <f>D37*E37</f>
        <v/>
      </c>
    </row>
    <row r="38">
      <c r="A38" s="6" t="n">
        <v>46310</v>
      </c>
      <c r="B38" t="inlineStr">
        <is>
          <t>Ana Souza</t>
        </is>
      </c>
      <c r="C38" t="inlineStr">
        <is>
          <t>Bolo de aniversário</t>
        </is>
      </c>
      <c r="D38" t="n">
        <v>3</v>
      </c>
      <c r="E38" s="7">
        <f>VLOOKUP(C38,Produtos!A:B,2,FALSE)</f>
        <v/>
      </c>
      <c r="F38" s="7">
        <f>D38*E38</f>
        <v/>
      </c>
    </row>
    <row r="39">
      <c r="A39" s="6" t="n">
        <v>46310</v>
      </c>
      <c r="B39" t="inlineStr">
        <is>
          <t>Beatriz Nunes</t>
        </is>
      </c>
      <c r="C39" t="inlineStr">
        <is>
          <t>Bolo de pote</t>
        </is>
      </c>
      <c r="D39" t="n">
        <v>2</v>
      </c>
      <c r="E39" s="7">
        <f>VLOOKUP(C39,Produtos!A:B,2,FALSE)</f>
        <v/>
      </c>
      <c r="F39" s="7">
        <f>D39*E39</f>
        <v/>
      </c>
    </row>
    <row r="40">
      <c r="A40" s="6" t="n">
        <v>46311</v>
      </c>
      <c r="B40" t="inlineStr">
        <is>
          <t>Lucas Martins</t>
        </is>
      </c>
      <c r="C40" t="inlineStr">
        <is>
          <t>Bolo de pote</t>
        </is>
      </c>
      <c r="D40" t="n">
        <v>6</v>
      </c>
      <c r="E40" s="7">
        <f>VLOOKUP(C40,Produtos!A:B,2,FALSE)</f>
        <v/>
      </c>
      <c r="F40" s="7">
        <f>D40*E40</f>
        <v/>
      </c>
    </row>
    <row r="41">
      <c r="A41" s="6" t="n">
        <v>46311</v>
      </c>
      <c r="B41" t="inlineStr">
        <is>
          <t>João Pedro</t>
        </is>
      </c>
      <c r="C41" t="inlineStr">
        <is>
          <t>Bolo de pote</t>
        </is>
      </c>
      <c r="D41" t="n">
        <v>7</v>
      </c>
      <c r="E41" s="7">
        <f>VLOOKUP(C41,Produtos!A:B,2,FALSE)</f>
        <v/>
      </c>
      <c r="F41" s="7">
        <f>D41*E41</f>
        <v/>
      </c>
    </row>
    <row r="42">
      <c r="A42" s="6" t="n">
        <v>46312</v>
      </c>
      <c r="B42" t="inlineStr">
        <is>
          <t>Beatriz Nunes</t>
        </is>
      </c>
      <c r="C42" t="inlineStr">
        <is>
          <t>Torta de limão</t>
        </is>
      </c>
      <c r="D42" t="n">
        <v>2</v>
      </c>
      <c r="E42" s="7">
        <f>VLOOKUP(C42,Produtos!A:B,2,FALSE)</f>
        <v/>
      </c>
      <c r="F42" s="7">
        <f>D42*E42</f>
        <v/>
      </c>
    </row>
    <row r="43">
      <c r="A43" s="6" t="n">
        <v>46312</v>
      </c>
      <c r="B43" t="inlineStr">
        <is>
          <t>Rita Alves</t>
        </is>
      </c>
      <c r="C43" t="inlineStr">
        <is>
          <t>Brownie</t>
        </is>
      </c>
      <c r="D43" t="n">
        <v>9</v>
      </c>
      <c r="E43" s="7">
        <f>VLOOKUP(C43,Produtos!A:B,2,FALSE)</f>
        <v/>
      </c>
      <c r="F43" s="7">
        <f>D43*E43</f>
        <v/>
      </c>
    </row>
    <row r="44">
      <c r="A44" s="6" t="n">
        <v>46313</v>
      </c>
      <c r="B44" t="inlineStr">
        <is>
          <t>Lucas Martins</t>
        </is>
      </c>
      <c r="C44" t="inlineStr">
        <is>
          <t>Torta de limão</t>
        </is>
      </c>
      <c r="D44" t="n">
        <v>1</v>
      </c>
      <c r="E44" s="7">
        <f>VLOOKUP(C44,Produtos!A:B,2,FALSE)</f>
        <v/>
      </c>
      <c r="F44" s="7">
        <f>D44*E44</f>
        <v/>
      </c>
    </row>
    <row r="45">
      <c r="A45" s="6" t="n">
        <v>46313</v>
      </c>
      <c r="B45" t="inlineStr">
        <is>
          <t>Carlos Lima</t>
        </is>
      </c>
      <c r="C45" t="inlineStr">
        <is>
          <t>Brigadeiro (cento)</t>
        </is>
      </c>
      <c r="D45" t="n">
        <v>1</v>
      </c>
      <c r="E45" s="7">
        <f>VLOOKUP(C45,Produtos!A:B,2,FALSE)</f>
        <v/>
      </c>
      <c r="F45" s="7">
        <f>D45*E45</f>
        <v/>
      </c>
    </row>
    <row r="46">
      <c r="A46" s="6" t="n">
        <v>46314</v>
      </c>
      <c r="B46" t="inlineStr">
        <is>
          <t>João Pedro</t>
        </is>
      </c>
      <c r="C46" t="inlineStr">
        <is>
          <t>Brigadeiro (cento)</t>
        </is>
      </c>
      <c r="D46" t="n">
        <v>2</v>
      </c>
      <c r="E46" s="7">
        <f>VLOOKUP(C46,Produtos!A:B,2,FALSE)</f>
        <v/>
      </c>
      <c r="F46" s="7">
        <f>D46*E46</f>
        <v/>
      </c>
    </row>
    <row r="47">
      <c r="A47" s="6" t="n">
        <v>46314</v>
      </c>
      <c r="B47" t="inlineStr">
        <is>
          <t>Ana Souza</t>
        </is>
      </c>
      <c r="C47" t="inlineStr">
        <is>
          <t>Bolo de pote</t>
        </is>
      </c>
      <c r="D47" t="n">
        <v>2</v>
      </c>
      <c r="E47" s="7">
        <f>VLOOKUP(C47,Produtos!A:B,2,FALSE)</f>
        <v/>
      </c>
      <c r="F47" s="7">
        <f>D47*E47</f>
        <v/>
      </c>
    </row>
    <row r="48">
      <c r="A48" s="6" t="n">
        <v>46315</v>
      </c>
      <c r="B48" t="inlineStr">
        <is>
          <t>João Pedro</t>
        </is>
      </c>
      <c r="C48" t="inlineStr">
        <is>
          <t>Brownie</t>
        </is>
      </c>
      <c r="D48" t="n">
        <v>5</v>
      </c>
      <c r="E48" s="7">
        <f>VLOOKUP(C48,Produtos!A:B,2,FALSE)</f>
        <v/>
      </c>
      <c r="F48" s="7">
        <f>D48*E48</f>
        <v/>
      </c>
    </row>
    <row r="49">
      <c r="A49" s="6" t="n">
        <v>46315</v>
      </c>
      <c r="B49" t="inlineStr">
        <is>
          <t>Fernanda Costa</t>
        </is>
      </c>
      <c r="C49" t="inlineStr">
        <is>
          <t>Bolo de pote</t>
        </is>
      </c>
      <c r="D49" t="n">
        <v>4</v>
      </c>
      <c r="E49" s="7">
        <f>VLOOKUP(C49,Produtos!A:B,2,FALSE)</f>
        <v/>
      </c>
      <c r="F49" s="7">
        <f>D49*E49</f>
        <v/>
      </c>
    </row>
    <row r="50">
      <c r="A50" s="6" t="n">
        <v>46316</v>
      </c>
      <c r="B50" t="inlineStr">
        <is>
          <t>Rita Alves</t>
        </is>
      </c>
      <c r="C50" t="inlineStr">
        <is>
          <t>Bolo de pote</t>
        </is>
      </c>
      <c r="D50" t="n">
        <v>2</v>
      </c>
      <c r="E50" s="7">
        <f>VLOOKUP(C50,Produtos!A:B,2,FALSE)</f>
        <v/>
      </c>
      <c r="F50" s="7">
        <f>D50*E50</f>
        <v/>
      </c>
    </row>
    <row r="51">
      <c r="A51" s="6" t="n">
        <v>46316</v>
      </c>
      <c r="B51" t="inlineStr">
        <is>
          <t>Beatriz Nunes</t>
        </is>
      </c>
      <c r="C51" t="inlineStr">
        <is>
          <t>Bolo de pote</t>
        </is>
      </c>
      <c r="D51" t="n">
        <v>9</v>
      </c>
      <c r="E51" s="7">
        <f>VLOOKUP(C51,Produtos!A:B,2,FALSE)</f>
        <v/>
      </c>
      <c r="F51" s="7">
        <f>D51*E51</f>
        <v/>
      </c>
    </row>
    <row r="52">
      <c r="A52" s="6" t="n">
        <v>46317</v>
      </c>
      <c r="B52" t="inlineStr">
        <is>
          <t>Ana Souza</t>
        </is>
      </c>
      <c r="C52" t="inlineStr">
        <is>
          <t>Bolo de pote</t>
        </is>
      </c>
      <c r="D52" t="n">
        <v>6</v>
      </c>
      <c r="E52" s="7">
        <f>VLOOKUP(C52,Produtos!A:B,2,FALSE)</f>
        <v/>
      </c>
      <c r="F52" s="7">
        <f>D52*E52</f>
        <v/>
      </c>
    </row>
    <row r="53">
      <c r="A53" s="6" t="n">
        <v>46317</v>
      </c>
      <c r="B53" t="inlineStr">
        <is>
          <t>Beatriz Nunes</t>
        </is>
      </c>
      <c r="C53" t="inlineStr">
        <is>
          <t>Bolo de pote</t>
        </is>
      </c>
      <c r="D53" t="n">
        <v>2</v>
      </c>
      <c r="E53" s="7">
        <f>VLOOKUP(C53,Produtos!A:B,2,FALSE)</f>
        <v/>
      </c>
      <c r="F53" s="7">
        <f>D53*E53</f>
        <v/>
      </c>
    </row>
    <row r="54">
      <c r="A54" s="6" t="n">
        <v>46318</v>
      </c>
      <c r="B54" t="inlineStr">
        <is>
          <t>Beatriz Nunes</t>
        </is>
      </c>
      <c r="C54" t="inlineStr">
        <is>
          <t>Brownie</t>
        </is>
      </c>
      <c r="D54" t="n">
        <v>9</v>
      </c>
      <c r="E54" s="7">
        <f>VLOOKUP(C54,Produtos!A:B,2,FALSE)</f>
        <v/>
      </c>
      <c r="F54" s="7">
        <f>D54*E54</f>
        <v/>
      </c>
    </row>
    <row r="55">
      <c r="A55" s="6" t="n">
        <v>46318</v>
      </c>
      <c r="B55" t="inlineStr">
        <is>
          <t>Ana Souza</t>
        </is>
      </c>
      <c r="C55" t="inlineStr">
        <is>
          <t>Salgado (cento)</t>
        </is>
      </c>
      <c r="D55" t="n">
        <v>2</v>
      </c>
      <c r="E55" s="7">
        <f>VLOOKUP(C55,Produtos!A:B,2,FALSE)</f>
        <v/>
      </c>
      <c r="F55" s="7">
        <f>D55*E55</f>
        <v/>
      </c>
    </row>
    <row r="56">
      <c r="A56" s="6" t="n">
        <v>46319</v>
      </c>
      <c r="B56" t="inlineStr">
        <is>
          <t>Fernanda Costa</t>
        </is>
      </c>
      <c r="C56" t="inlineStr">
        <is>
          <t>Brigadeiro (cento)</t>
        </is>
      </c>
      <c r="D56" t="n">
        <v>3</v>
      </c>
      <c r="E56" s="7">
        <f>VLOOKUP(C56,Produtos!A:B,2,FALSE)</f>
        <v/>
      </c>
      <c r="F56" s="7">
        <f>D56*E56</f>
        <v/>
      </c>
    </row>
    <row r="57">
      <c r="A57" s="6" t="n">
        <v>46319</v>
      </c>
      <c r="B57" t="inlineStr">
        <is>
          <t>Lucas Martins</t>
        </is>
      </c>
      <c r="C57" t="inlineStr">
        <is>
          <t>Bolo de aniversário</t>
        </is>
      </c>
      <c r="D57" t="n">
        <v>3</v>
      </c>
      <c r="E57" s="7">
        <f>VLOOKUP(C57,Produtos!A:B,2,FALSE)</f>
        <v/>
      </c>
      <c r="F57" s="7">
        <f>D57*E57</f>
        <v/>
      </c>
    </row>
    <row r="58">
      <c r="A58" s="6" t="n">
        <v>46320</v>
      </c>
      <c r="B58" t="inlineStr">
        <is>
          <t>Carlos Lima</t>
        </is>
      </c>
      <c r="C58" t="inlineStr">
        <is>
          <t>Bolo de pote</t>
        </is>
      </c>
      <c r="D58" t="n">
        <v>5</v>
      </c>
      <c r="E58" s="7">
        <f>VLOOKUP(C58,Produtos!A:B,2,FALSE)</f>
        <v/>
      </c>
      <c r="F58" s="7">
        <f>D58*E58</f>
        <v/>
      </c>
    </row>
    <row r="59">
      <c r="A59" s="6" t="n">
        <v>46320</v>
      </c>
      <c r="B59" t="inlineStr">
        <is>
          <t>Carlos Lima</t>
        </is>
      </c>
      <c r="C59" t="inlineStr">
        <is>
          <t>Brownie</t>
        </is>
      </c>
      <c r="D59" t="n">
        <v>5</v>
      </c>
      <c r="E59" s="7">
        <f>VLOOKUP(C59,Produtos!A:B,2,FALSE)</f>
        <v/>
      </c>
      <c r="F59" s="7">
        <f>D59*E59</f>
        <v/>
      </c>
    </row>
    <row r="60">
      <c r="A60" s="6" t="n">
        <v>46321</v>
      </c>
      <c r="B60" t="inlineStr">
        <is>
          <t>Fernanda Costa</t>
        </is>
      </c>
      <c r="C60" t="inlineStr">
        <is>
          <t>Brownie</t>
        </is>
      </c>
      <c r="D60" t="n">
        <v>6</v>
      </c>
      <c r="E60" s="7">
        <f>VLOOKUP(C60,Produtos!A:B,2,FALSE)</f>
        <v/>
      </c>
      <c r="F60" s="7">
        <f>D60*E60</f>
        <v/>
      </c>
    </row>
    <row r="61">
      <c r="A61" s="6" t="n">
        <v>46321</v>
      </c>
      <c r="B61" t="inlineStr">
        <is>
          <t>João Pedro</t>
        </is>
      </c>
      <c r="C61" t="inlineStr">
        <is>
          <t>Brigadeiro (cento)</t>
        </is>
      </c>
      <c r="D61" t="n">
        <v>1</v>
      </c>
      <c r="E61" s="7">
        <f>VLOOKUP(C61,Produtos!A:B,2,FALSE)</f>
        <v/>
      </c>
      <c r="F61" s="7">
        <f>D61*E61</f>
        <v/>
      </c>
    </row>
    <row r="62">
      <c r="A62" s="6" t="n">
        <v>46322</v>
      </c>
      <c r="B62" t="inlineStr">
        <is>
          <t>Carlos Lima</t>
        </is>
      </c>
      <c r="C62" t="inlineStr">
        <is>
          <t>Brigadeiro (cento)</t>
        </is>
      </c>
      <c r="D62" t="n">
        <v>3</v>
      </c>
      <c r="E62" s="7">
        <f>VLOOKUP(C62,Produtos!A:B,2,FALSE)</f>
        <v/>
      </c>
      <c r="F62" s="7">
        <f>D62*E62</f>
        <v/>
      </c>
    </row>
    <row r="63">
      <c r="A63" s="6" t="n">
        <v>46322</v>
      </c>
      <c r="B63" t="inlineStr">
        <is>
          <t>Carlos Lima</t>
        </is>
      </c>
      <c r="C63" t="inlineStr">
        <is>
          <t>Brigadeiro (cento)</t>
        </is>
      </c>
      <c r="D63" t="n">
        <v>1</v>
      </c>
      <c r="E63" s="7">
        <f>VLOOKUP(C63,Produtos!A:B,2,FALSE)</f>
        <v/>
      </c>
      <c r="F63" s="7">
        <f>D63*E63</f>
        <v/>
      </c>
    </row>
    <row r="64">
      <c r="A64" s="6" t="n">
        <v>46323</v>
      </c>
      <c r="B64" t="inlineStr">
        <is>
          <t>Beatriz Nunes</t>
        </is>
      </c>
      <c r="C64" t="inlineStr">
        <is>
          <t>Brigadeiro (cento)</t>
        </is>
      </c>
      <c r="D64" t="n">
        <v>3</v>
      </c>
      <c r="E64" s="7">
        <f>VLOOKUP(C64,Produtos!A:B,2,FALSE)</f>
        <v/>
      </c>
      <c r="F64" s="7">
        <f>D64*E64</f>
        <v/>
      </c>
    </row>
    <row r="65">
      <c r="A65" s="6" t="n">
        <v>46323</v>
      </c>
      <c r="B65" t="inlineStr">
        <is>
          <t>Fernanda Costa</t>
        </is>
      </c>
      <c r="C65" t="inlineStr">
        <is>
          <t>Salgado (cento)</t>
        </is>
      </c>
      <c r="D65" t="n">
        <v>1</v>
      </c>
      <c r="E65" s="7">
        <f>VLOOKUP(C65,Produtos!A:B,2,FALSE)</f>
        <v/>
      </c>
      <c r="F65" s="7">
        <f>D65*E65</f>
        <v/>
      </c>
    </row>
  </sheetData>
  <dataValidations count="1">
    <dataValidation sqref="C2:C500" showDropDown="0" showInputMessage="0" showErrorMessage="1" allowBlank="0" errorTitle="Produto inválido" error="Escolha um produto da lista." type="list">
      <formula1>=Produtos!$A$2:$A$7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DB2FF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8" customWidth="1" min="4" max="4"/>
  </cols>
  <sheetData>
    <row r="1" ht="22" customHeight="1">
      <c r="A1" s="5" t="inlineStr">
        <is>
          <t>Produto</t>
        </is>
      </c>
      <c r="B1" s="5" t="inlineStr">
        <is>
          <t>Preço</t>
        </is>
      </c>
      <c r="C1" s="5" t="inlineStr">
        <is>
          <t>Unidade</t>
        </is>
      </c>
      <c r="D1" s="5" t="inlineStr">
        <is>
          <t>Vendido no mês</t>
        </is>
      </c>
    </row>
    <row r="2">
      <c r="A2" t="inlineStr">
        <is>
          <t>Bolo de pote</t>
        </is>
      </c>
      <c r="B2" s="7" t="n">
        <v>12</v>
      </c>
      <c r="C2" t="inlineStr">
        <is>
          <t>unidade</t>
        </is>
      </c>
      <c r="D2" s="7">
        <f>SUMIFS(Vendas!F:F,Vendas!C:C,A2)</f>
        <v/>
      </c>
    </row>
    <row r="3">
      <c r="A3" t="inlineStr">
        <is>
          <t>Brigadeiro (cento)</t>
        </is>
      </c>
      <c r="B3" s="7" t="n">
        <v>110</v>
      </c>
      <c r="C3" t="inlineStr">
        <is>
          <t>cento</t>
        </is>
      </c>
      <c r="D3" s="7">
        <f>SUMIFS(Vendas!F:F,Vendas!C:C,A3)</f>
        <v/>
      </c>
    </row>
    <row r="4">
      <c r="A4" t="inlineStr">
        <is>
          <t>Brownie</t>
        </is>
      </c>
      <c r="B4" s="7" t="n">
        <v>8</v>
      </c>
      <c r="C4" t="inlineStr">
        <is>
          <t>unidade</t>
        </is>
      </c>
      <c r="D4" s="7">
        <f>SUMIFS(Vendas!F:F,Vendas!C:C,A4)</f>
        <v/>
      </c>
    </row>
    <row r="5">
      <c r="A5" t="inlineStr">
        <is>
          <t>Torta de limão</t>
        </is>
      </c>
      <c r="B5" s="7" t="n">
        <v>85</v>
      </c>
      <c r="C5" t="inlineStr">
        <is>
          <t>inteira</t>
        </is>
      </c>
      <c r="D5" s="7">
        <f>SUMIFS(Vendas!F:F,Vendas!C:C,A5)</f>
        <v/>
      </c>
    </row>
    <row r="6">
      <c r="A6" t="inlineStr">
        <is>
          <t>Salgado (cento)</t>
        </is>
      </c>
      <c r="B6" s="7" t="n">
        <v>90</v>
      </c>
      <c r="C6" t="inlineStr">
        <is>
          <t>cento</t>
        </is>
      </c>
      <c r="D6" s="7">
        <f>SUMIFS(Vendas!F:F,Vendas!C:C,A6)</f>
        <v/>
      </c>
    </row>
    <row r="7">
      <c r="A7" t="inlineStr">
        <is>
          <t>Bolo de aniversário</t>
        </is>
      </c>
      <c r="B7" s="7" t="n">
        <v>160</v>
      </c>
      <c r="C7" t="inlineStr">
        <is>
          <t>inteiro</t>
        </is>
      </c>
      <c r="D7" s="7">
        <f>SUMIFS(Vendas!F:F,Vendas!C:C,A7)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B547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2" customWidth="1" min="5" max="5"/>
  </cols>
  <sheetData>
    <row r="1" ht="22" customHeight="1">
      <c r="A1" s="5" t="inlineStr">
        <is>
          <t>Item</t>
        </is>
      </c>
      <c r="B1" s="5" t="inlineStr">
        <is>
          <t>Quantidade</t>
        </is>
      </c>
      <c r="C1" s="5" t="inlineStr">
        <is>
          <t>Mínimo</t>
        </is>
      </c>
      <c r="D1" s="5" t="inlineStr">
        <is>
          <t>Alerta</t>
        </is>
      </c>
      <c r="E1" s="5" t="inlineStr">
        <is>
          <t>Situação</t>
        </is>
      </c>
    </row>
    <row r="2">
      <c r="A2" t="inlineStr">
        <is>
          <t>Farinha (kg)</t>
        </is>
      </c>
      <c r="B2" t="n">
        <v>6</v>
      </c>
      <c r="C2" t="n">
        <v>2</v>
      </c>
      <c r="D2">
        <f>C2*1.5</f>
        <v/>
      </c>
      <c r="E2">
        <f>IF(B2&lt;C2,"Repor",IF(B2&lt;D2,"Atenção","OK"))</f>
        <v/>
      </c>
    </row>
    <row r="3">
      <c r="A3" t="inlineStr">
        <is>
          <t>Chocolate (kg)</t>
        </is>
      </c>
      <c r="B3" t="n">
        <v>2</v>
      </c>
      <c r="C3" t="n">
        <v>1.5</v>
      </c>
      <c r="D3">
        <f>C3*1.5</f>
        <v/>
      </c>
      <c r="E3">
        <f>IF(B3&lt;C3,"Repor",IF(B3&lt;D3,"Atenção","OK"))</f>
        <v/>
      </c>
    </row>
    <row r="4">
      <c r="A4" t="inlineStr">
        <is>
          <t>Açúcar (kg)</t>
        </is>
      </c>
      <c r="B4" t="n">
        <v>5</v>
      </c>
      <c r="C4" t="n">
        <v>2</v>
      </c>
      <c r="D4">
        <f>C4*1.5</f>
        <v/>
      </c>
      <c r="E4">
        <f>IF(B4&lt;C4,"Repor",IF(B4&lt;D4,"Atenção","OK"))</f>
        <v/>
      </c>
    </row>
    <row r="5">
      <c r="A5" t="inlineStr">
        <is>
          <t>Leite condensado (latas)</t>
        </is>
      </c>
      <c r="B5" t="n">
        <v>4</v>
      </c>
      <c r="C5" t="n">
        <v>6</v>
      </c>
      <c r="D5">
        <f>C5*1.5</f>
        <v/>
      </c>
      <c r="E5">
        <f>IF(B5&lt;C5,"Repor",IF(B5&lt;D5,"Atenção","OK"))</f>
        <v/>
      </c>
    </row>
    <row r="6">
      <c r="A6" t="inlineStr">
        <is>
          <t>Embalagens (un)</t>
        </is>
      </c>
      <c r="B6" t="n">
        <v>30</v>
      </c>
      <c r="C6" t="n">
        <v>15</v>
      </c>
      <c r="D6">
        <f>C6*1.5</f>
        <v/>
      </c>
      <c r="E6">
        <f>IF(B6&lt;C6,"Repor",IF(B6&lt;D6,"Atenção","OK"))</f>
        <v/>
      </c>
    </row>
  </sheetData>
  <conditionalFormatting sqref="E2:E50">
    <cfRule type="cellIs" priority="1" operator="equal" dxfId="0">
      <formula>"Repor"</formula>
    </cfRule>
    <cfRule type="cellIs" priority="2" operator="equal" dxfId="1">
      <formula>"Atenção"</formula>
    </cfRule>
    <cfRule type="cellIs" priority="3" operator="equal" dxfId="2">
      <formula>"OK"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592FF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2" customWidth="1" min="5" max="5"/>
  </cols>
  <sheetData>
    <row r="1" ht="22" customHeight="1">
      <c r="A1" s="5" t="inlineStr">
        <is>
          <t>Nome</t>
        </is>
      </c>
      <c r="B1" s="5" t="inlineStr">
        <is>
          <t>Telefone</t>
        </is>
      </c>
      <c r="C1" s="5" t="inlineStr">
        <is>
          <t>Última compra</t>
        </is>
      </c>
      <c r="D1" s="5" t="inlineStr">
        <is>
          <t>Total gasto</t>
        </is>
      </c>
      <c r="E1" s="5" t="inlineStr">
        <is>
          <t>Situação</t>
        </is>
      </c>
    </row>
    <row r="2">
      <c r="A2" t="inlineStr">
        <is>
          <t>Ana Souza</t>
        </is>
      </c>
      <c r="B2" t="inlineStr">
        <is>
          <t>(95) 99123-4567</t>
        </is>
      </c>
      <c r="C2" s="6">
        <f>_xlfn.MAXIFS(Vendas!A:A,Vendas!B:B,A2)</f>
        <v/>
      </c>
      <c r="D2" s="7">
        <f>SUMIFS(Vendas!F:F,Vendas!B:B,A2)</f>
        <v/>
      </c>
      <c r="E2">
        <f>IF(C2=0,"Novo",IF(TODAY()-C2&gt;30,"Sumido","Ativo"))</f>
        <v/>
      </c>
    </row>
    <row r="3">
      <c r="A3" t="inlineStr">
        <is>
          <t>Carlos Lima</t>
        </is>
      </c>
      <c r="B3" t="inlineStr">
        <is>
          <t>(95) 98114-2290</t>
        </is>
      </c>
      <c r="C3" s="6">
        <f>_xlfn.MAXIFS(Vendas!A:A,Vendas!B:B,A3)</f>
        <v/>
      </c>
      <c r="D3" s="7">
        <f>SUMIFS(Vendas!F:F,Vendas!B:B,A3)</f>
        <v/>
      </c>
      <c r="E3">
        <f>IF(C3=0,"Novo",IF(TODAY()-C3&gt;30,"Sumido","Ativo"))</f>
        <v/>
      </c>
    </row>
    <row r="4">
      <c r="A4" t="inlineStr">
        <is>
          <t>Rita Alves</t>
        </is>
      </c>
      <c r="B4" t="inlineStr">
        <is>
          <t>(95) 99207-5518</t>
        </is>
      </c>
      <c r="C4" s="6">
        <f>_xlfn.MAXIFS(Vendas!A:A,Vendas!B:B,A4)</f>
        <v/>
      </c>
      <c r="D4" s="7">
        <f>SUMIFS(Vendas!F:F,Vendas!B:B,A4)</f>
        <v/>
      </c>
      <c r="E4">
        <f>IF(C4=0,"Novo",IF(TODAY()-C4&gt;30,"Sumido","Ativo"))</f>
        <v/>
      </c>
    </row>
    <row r="5">
      <c r="A5" t="inlineStr">
        <is>
          <t>João Pedro</t>
        </is>
      </c>
      <c r="B5" t="inlineStr">
        <is>
          <t>(95) 99876-1034</t>
        </is>
      </c>
      <c r="C5" s="6">
        <f>_xlfn.MAXIFS(Vendas!A:A,Vendas!B:B,A5)</f>
        <v/>
      </c>
      <c r="D5" s="7">
        <f>SUMIFS(Vendas!F:F,Vendas!B:B,A5)</f>
        <v/>
      </c>
      <c r="E5">
        <f>IF(C5=0,"Novo",IF(TODAY()-C5&gt;30,"Sumido","Ativo"))</f>
        <v/>
      </c>
    </row>
    <row r="6">
      <c r="A6" t="inlineStr">
        <is>
          <t>Beatriz Nunes</t>
        </is>
      </c>
      <c r="B6" t="inlineStr">
        <is>
          <t>(95) 98450-7712</t>
        </is>
      </c>
      <c r="C6" s="6">
        <f>_xlfn.MAXIFS(Vendas!A:A,Vendas!B:B,A6)</f>
        <v/>
      </c>
      <c r="D6" s="7">
        <f>SUMIFS(Vendas!F:F,Vendas!B:B,A6)</f>
        <v/>
      </c>
      <c r="E6">
        <f>IF(C6=0,"Novo",IF(TODAY()-C6&gt;30,"Sumido","Ativo"))</f>
        <v/>
      </c>
    </row>
    <row r="7">
      <c r="A7" t="inlineStr">
        <is>
          <t>Marcos Reis</t>
        </is>
      </c>
      <c r="B7" t="inlineStr">
        <is>
          <t>(95) 99311-0087</t>
        </is>
      </c>
      <c r="C7" s="6">
        <f>_xlfn.MAXIFS(Vendas!A:A,Vendas!B:B,A7)</f>
        <v/>
      </c>
      <c r="D7" s="7">
        <f>SUMIFS(Vendas!F:F,Vendas!B:B,A7)</f>
        <v/>
      </c>
      <c r="E7">
        <f>IF(C7=0,"Novo",IF(TODAY()-C7&gt;30,"Sumido","Ativo"))</f>
        <v/>
      </c>
    </row>
    <row r="8">
      <c r="A8" t="inlineStr">
        <is>
          <t>Fernanda Costa</t>
        </is>
      </c>
      <c r="B8" t="inlineStr">
        <is>
          <t>(95) 99102-3344</t>
        </is>
      </c>
      <c r="C8" s="6">
        <f>_xlfn.MAXIFS(Vendas!A:A,Vendas!B:B,A8)</f>
        <v/>
      </c>
      <c r="D8" s="7">
        <f>SUMIFS(Vendas!F:F,Vendas!B:B,A8)</f>
        <v/>
      </c>
      <c r="E8">
        <f>IF(C8=0,"Novo",IF(TODAY()-C8&gt;30,"Sumido","Ativo"))</f>
        <v/>
      </c>
    </row>
    <row r="9">
      <c r="A9" t="inlineStr">
        <is>
          <t>Lucas Martins</t>
        </is>
      </c>
      <c r="B9" t="inlineStr">
        <is>
          <t>(95) 98877-6655</t>
        </is>
      </c>
      <c r="C9" s="6">
        <f>_xlfn.MAXIFS(Vendas!A:A,Vendas!B:B,A9)</f>
        <v/>
      </c>
      <c r="D9" s="7">
        <f>SUMIFS(Vendas!F:F,Vendas!B:B,A9)</f>
        <v/>
      </c>
      <c r="E9">
        <f>IF(C9=0,"Novo",IF(TODAY()-C9&gt;30,"Sumido","Ativo"))</f>
        <v/>
      </c>
    </row>
  </sheetData>
  <conditionalFormatting sqref="E2:E50">
    <cfRule type="cellIs" priority="1" operator="equal" dxfId="1">
      <formula>"Sumido"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FD68A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5" t="inlineStr">
        <is>
          <t>Mês</t>
        </is>
      </c>
      <c r="B1" s="5" t="inlineStr">
        <is>
          <t>Entradas</t>
        </is>
      </c>
      <c r="C1" s="5" t="inlineStr">
        <is>
          <t>Saídas</t>
        </is>
      </c>
      <c r="D1" s="5" t="inlineStr">
        <is>
          <t>Saldo</t>
        </is>
      </c>
      <c r="E1" s="5" t="inlineStr">
        <is>
          <t>Acumulado</t>
        </is>
      </c>
    </row>
    <row r="2">
      <c r="A2" t="inlineStr">
        <is>
          <t>julho</t>
        </is>
      </c>
      <c r="B2" s="7" t="n">
        <v>5200</v>
      </c>
      <c r="C2" s="7" t="n">
        <v>3600</v>
      </c>
      <c r="D2" s="7">
        <f>B2-C2</f>
        <v/>
      </c>
      <c r="E2" s="7">
        <f>D2</f>
        <v/>
      </c>
    </row>
    <row r="3">
      <c r="A3" t="inlineStr">
        <is>
          <t>agosto</t>
        </is>
      </c>
      <c r="B3" s="7" t="n">
        <v>5600</v>
      </c>
      <c r="C3" s="7" t="n">
        <v>3700</v>
      </c>
      <c r="D3" s="7">
        <f>B3-C3</f>
        <v/>
      </c>
      <c r="E3" s="7">
        <f>E2+D3</f>
        <v/>
      </c>
    </row>
    <row r="4">
      <c r="A4" t="inlineStr">
        <is>
          <t>setembro</t>
        </is>
      </c>
      <c r="B4" s="7" t="n">
        <v>5800</v>
      </c>
      <c r="C4" s="7" t="n">
        <v>3750</v>
      </c>
      <c r="D4" s="7">
        <f>B4-C4</f>
        <v/>
      </c>
      <c r="E4" s="7">
        <f>E3+D4</f>
        <v/>
      </c>
    </row>
    <row r="5">
      <c r="A5" t="inlineStr">
        <is>
          <t>outubro</t>
        </is>
      </c>
      <c r="B5" s="7">
        <f>SUM(Vendas!F:F)</f>
        <v/>
      </c>
      <c r="C5" s="7" t="n">
        <v>3780</v>
      </c>
      <c r="D5" s="7">
        <f>B5-C5</f>
        <v/>
      </c>
      <c r="E5" s="7">
        <f>E4+D5</f>
        <v/>
      </c>
    </row>
  </sheetData>
  <conditionalFormatting sqref="D2:D20">
    <cfRule type="cellIs" priority="1" operator="lessThan" dxfId="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2026-10-05T14:02:27Z</dcterms:created>
  <dcterms:modified xmlns:dcterms="http://purl.org/dc/terms/" xmlns:xsi="http://www.w3.org/2001/XMLSchema-instance" xsi:type="dcterms:W3CDTF">2026-10-05T14:02:27Z</dcterms:modified>
</cp:coreProperties>
</file>